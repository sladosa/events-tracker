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_Sasa\events-tracker\templates\"/>
    </mc:Choice>
  </mc:AlternateContent>
  <xr:revisionPtr revIDLastSave="0" documentId="13_ncr:1_{5842097A-B51B-4426-89FF-75C1D08ADF8A}" xr6:coauthVersionLast="47" xr6:coauthVersionMax="47" xr10:uidLastSave="{00000000-0000-0000-0000-000000000000}"/>
  <bookViews>
    <workbookView xWindow="29715" yWindow="915" windowWidth="25620" windowHeight="14265" xr2:uid="{00000000-000D-0000-FFFF-FFFF00000000}"/>
  </bookViews>
  <sheets>
    <sheet name="Hierarchical_View" sheetId="1" r:id="rId1"/>
    <sheet name="Help" sheetId="2" r:id="rId2"/>
  </sheets>
  <definedNames>
    <definedName name="_xlnm._FilterDatabase" localSheetId="0" hidden="1">Hierarchical_View!$A$2:$N$32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15" i="1"/>
  <c r="B5" i="1"/>
  <c r="D6" i="1"/>
  <c r="D32" i="1"/>
  <c r="B32" i="1"/>
  <c r="D31" i="1"/>
  <c r="B31" i="1"/>
  <c r="D30" i="1"/>
  <c r="B30" i="1"/>
  <c r="D29" i="1"/>
  <c r="B29" i="1"/>
  <c r="D28" i="1"/>
  <c r="B28" i="1"/>
  <c r="D27" i="1"/>
  <c r="B27" i="1"/>
  <c r="D26" i="1"/>
  <c r="B26" i="1"/>
  <c r="D25" i="1"/>
  <c r="B25" i="1"/>
  <c r="D24" i="1"/>
  <c r="B24" i="1"/>
  <c r="D23" i="1"/>
  <c r="B23" i="1"/>
  <c r="D22" i="1"/>
  <c r="B22" i="1"/>
  <c r="D21" i="1"/>
  <c r="B21" i="1"/>
  <c r="D20" i="1"/>
  <c r="B20" i="1"/>
  <c r="D19" i="1"/>
  <c r="D18" i="1"/>
  <c r="B18" i="1"/>
  <c r="D17" i="1"/>
  <c r="B17" i="1"/>
  <c r="D16" i="1"/>
  <c r="B16" i="1"/>
  <c r="D15" i="1"/>
  <c r="D14" i="1"/>
  <c r="B14" i="1"/>
  <c r="D13" i="1"/>
  <c r="B13" i="1"/>
  <c r="D12" i="1"/>
  <c r="B12" i="1"/>
  <c r="D11" i="1"/>
  <c r="B11" i="1"/>
  <c r="D10" i="1"/>
  <c r="D9" i="1"/>
  <c r="B9" i="1"/>
  <c r="D8" i="1"/>
  <c r="D7" i="1"/>
  <c r="B7" i="1"/>
  <c r="D5" i="1"/>
  <c r="D4" i="1"/>
  <c r="B4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Validation System</author>
  </authors>
  <commentList>
    <comment ref="E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❌ ERROR:
Category 'Finance &gt; Prihodi &gt; Mirovina' not found</t>
        </r>
      </text>
    </comment>
    <comment ref="E6" authorId="0" shapeId="0" xr:uid="{E03FDD9D-9706-4986-BEC8-BE112BF23308}">
      <text>
        <r>
          <rPr>
            <sz val="11"/>
            <color theme="1"/>
            <rFont val="Calibri"/>
            <family val="2"/>
            <scheme val="minor"/>
          </rPr>
          <t>❌ ERROR:
Category 'Finance &gt; Prihodi &gt; Mirovina' not found</t>
        </r>
      </text>
    </comment>
  </commentList>
</comments>
</file>

<file path=xl/sharedStrings.xml><?xml version="1.0" encoding="utf-8"?>
<sst xmlns="http://schemas.openxmlformats.org/spreadsheetml/2006/main" count="267" uniqueCount="173">
  <si>
    <t>Type</t>
  </si>
  <si>
    <t>Level</t>
  </si>
  <si>
    <t>Sort_Order</t>
  </si>
  <si>
    <t>Area</t>
  </si>
  <si>
    <t>Category_Path</t>
  </si>
  <si>
    <t>Category</t>
  </si>
  <si>
    <t>Attribute_Name</t>
  </si>
  <si>
    <t>Data_Type</t>
  </si>
  <si>
    <t>Unit</t>
  </si>
  <si>
    <t>Is_Required</t>
  </si>
  <si>
    <t>Default_Value</t>
  </si>
  <si>
    <t>Validation_Min</t>
  </si>
  <si>
    <t>Validation_Max</t>
  </si>
  <si>
    <t>Description</t>
  </si>
  <si>
    <t>Finance</t>
  </si>
  <si>
    <t>Finance &gt; Prihodi</t>
  </si>
  <si>
    <t>Prihodi</t>
  </si>
  <si>
    <t>Attribute</t>
  </si>
  <si>
    <t>Finance &gt; Prihodi &gt; Mirovina</t>
  </si>
  <si>
    <t>Mirovina</t>
  </si>
  <si>
    <t>number</t>
  </si>
  <si>
    <t>eur</t>
  </si>
  <si>
    <t>TRUE</t>
  </si>
  <si>
    <t>Mirovina u eurima (ocekuje mjesecni prihod)</t>
  </si>
  <si>
    <t>Finance &gt; Rashodi</t>
  </si>
  <si>
    <t>Rashodi</t>
  </si>
  <si>
    <t>Projects</t>
  </si>
  <si>
    <t>Projects &gt; Muskonomy</t>
  </si>
  <si>
    <t>Muskonomy</t>
  </si>
  <si>
    <t>Health</t>
  </si>
  <si>
    <t>Health and wellness tracking</t>
  </si>
  <si>
    <t>Health &gt; Sleep</t>
  </si>
  <si>
    <t>Sleep</t>
  </si>
  <si>
    <t>Sleep tracking and analysis</t>
  </si>
  <si>
    <t>Deep Sleep</t>
  </si>
  <si>
    <t>hours</t>
  </si>
  <si>
    <t>FALSE</t>
  </si>
  <si>
    <t>Deep sleep time in hours</t>
  </si>
  <si>
    <t>Sleep Quality</t>
  </si>
  <si>
    <t>score</t>
  </si>
  <si>
    <t>Garmin based sleep quality (0-100)</t>
  </si>
  <si>
    <t>Health &gt; Daily Wellness</t>
  </si>
  <si>
    <t>Daily Wellness</t>
  </si>
  <si>
    <t>Daily health metrics</t>
  </si>
  <si>
    <t>Steps</t>
  </si>
  <si>
    <t>steps</t>
  </si>
  <si>
    <t>Steps per day</t>
  </si>
  <si>
    <t>Resting HR</t>
  </si>
  <si>
    <t>bpm</t>
  </si>
  <si>
    <t>Resting harth rate (min. During sleep)</t>
  </si>
  <si>
    <t>HRV</t>
  </si>
  <si>
    <t>ms</t>
  </si>
  <si>
    <t>Hearth rate variability</t>
  </si>
  <si>
    <t>Body Battery</t>
  </si>
  <si>
    <t>Garmin based body battery (max.)</t>
  </si>
  <si>
    <t>Training</t>
  </si>
  <si>
    <t>Training and exercise tracking</t>
  </si>
  <si>
    <t>Training &gt; Cardio</t>
  </si>
  <si>
    <t>Cardio</t>
  </si>
  <si>
    <t>Cardiovascular training</t>
  </si>
  <si>
    <t>Duration</t>
  </si>
  <si>
    <t>minutes</t>
  </si>
  <si>
    <t>Distance</t>
  </si>
  <si>
    <t>km</t>
  </si>
  <si>
    <t>Avg Heart Rate</t>
  </si>
  <si>
    <t>Max Heart Rate</t>
  </si>
  <si>
    <t>Calories</t>
  </si>
  <si>
    <t>kcal</t>
  </si>
  <si>
    <t>Training &gt; Strength</t>
  </si>
  <si>
    <t>Strength</t>
  </si>
  <si>
    <t>Resistance training</t>
  </si>
  <si>
    <t>Reps</t>
  </si>
  <si>
    <t>count</t>
  </si>
  <si>
    <t>Exercises</t>
  </si>
  <si>
    <t>text</t>
  </si>
  <si>
    <t>Training &gt; Strength &gt; Lower Body</t>
  </si>
  <si>
    <t>Lower Body</t>
  </si>
  <si>
    <t>Training &gt; Strength &gt; Upper Body</t>
  </si>
  <si>
    <t>Upper Body</t>
  </si>
  <si>
    <t>Upper body strength exercises</t>
  </si>
  <si>
    <t>Bench Press Weight</t>
  </si>
  <si>
    <t>kg</t>
  </si>
  <si>
    <t>EVENTS TRACKER - Enhanced Structure Export</t>
  </si>
  <si>
    <t>WHAT IS THIS FILE?</t>
  </si>
  <si>
    <t>This Excel file contains your event tracking structure exported from the Events Tracker app.</t>
  </si>
  <si>
    <t>You can VIEW and EDIT this structure, then re-import it back into the app.</t>
  </si>
  <si>
    <t>COLOR CODING:</t>
  </si>
  <si>
    <t>PINK columns = AUTO-CALCULATED (Read-Only)</t>
  </si>
  <si>
    <t xml:space="preserve">  • Type: Area, Category, or Attribute</t>
  </si>
  <si>
    <t xml:space="preserve">  • Level: Calculated from Category_Path depth</t>
  </si>
  <si>
    <t xml:space="preserve">  • Sort_Order: Order within parent</t>
  </si>
  <si>
    <t xml:space="preserve">  • Area: Extracted from Category_Path</t>
  </si>
  <si>
    <t xml:space="preserve">  • Category_Path: Full hierarchical path</t>
  </si>
  <si>
    <t>BLUE columns = EDITABLE</t>
  </si>
  <si>
    <t xml:space="preserve">  • Category: Category name</t>
  </si>
  <si>
    <t xml:space="preserve">  • Attribute_Name: Attribute name</t>
  </si>
  <si>
    <t xml:space="preserve">  • Data_Type: number, text, datetime, boolean, link</t>
  </si>
  <si>
    <t xml:space="preserve">  • Unit: Unit of measurement (e.g., 'kg', 'hours')</t>
  </si>
  <si>
    <t xml:space="preserve">  • Is_Required: TRUE or FALSE</t>
  </si>
  <si>
    <t xml:space="preserve">  • Default_Value: Default value for new events</t>
  </si>
  <si>
    <t xml:space="preserve">  • Validation_Min: Minimum value (for number types)</t>
  </si>
  <si>
    <t xml:space="preserve">  • Validation_Max: Maximum value (for number types)</t>
  </si>
  <si>
    <t xml:space="preserve">  • Description: Documentation and notes</t>
  </si>
  <si>
    <t>WHAT CAN YOU EDIT?</t>
  </si>
  <si>
    <t>✅ YES - Edit these:</t>
  </si>
  <si>
    <t xml:space="preserve">  • Category names (column F)</t>
  </si>
  <si>
    <t xml:space="preserve">  • Attribute names (column G)</t>
  </si>
  <si>
    <t xml:space="preserve">  • Data types (column H) - use dropdown</t>
  </si>
  <si>
    <t xml:space="preserve">  • Units (column I)</t>
  </si>
  <si>
    <t xml:space="preserve">  • Required status (column J) - use dropdown</t>
  </si>
  <si>
    <t xml:space="preserve">  • Default values (column K)</t>
  </si>
  <si>
    <t xml:space="preserve">  • Validation Min/Max (columns L-M)</t>
  </si>
  <si>
    <t xml:space="preserve">  • Descriptions (column N)</t>
  </si>
  <si>
    <t>❌ NO - Do NOT edit:</t>
  </si>
  <si>
    <t xml:space="preserve">  • PINK columns (Type, Level, Sort_Order, Area, Category_Path)</t>
  </si>
  <si>
    <t xml:space="preserve">  • Row 1 (keep blank)</t>
  </si>
  <si>
    <t xml:space="preserve">  • Row 2 (headers)</t>
  </si>
  <si>
    <t xml:space="preserve">  • Delete rows (use app to delete instead)</t>
  </si>
  <si>
    <t xml:space="preserve">  • Add rows (use app to add instead)</t>
  </si>
  <si>
    <t>HOW TO USE GROUPS:</t>
  </si>
  <si>
    <t>Column Groups (buttons at top):</t>
  </si>
  <si>
    <t xml:space="preserve">  • Click [+] button to expand collapsed groups</t>
  </si>
  <si>
    <t xml:space="preserve">  • Click [-] button to collapse expanded groups</t>
  </si>
  <si>
    <t xml:space="preserve">  • Group 1 (B-C): Level, Sort_Order</t>
  </si>
  <si>
    <t xml:space="preserve">  • Group 2 (F): Category</t>
  </si>
  <si>
    <t xml:space="preserve">  • Group 3 (H-M): Attribute details</t>
  </si>
  <si>
    <t>Row Groups (buttons at left):</t>
  </si>
  <si>
    <t xml:space="preserve">  • Click [+] to expand Area or Category</t>
  </si>
  <si>
    <t xml:space="preserve">  • Click [-] to collapse Area or Category</t>
  </si>
  <si>
    <t xml:space="preserve">  • All groups start collapsed for cleaner view</t>
  </si>
  <si>
    <t>HOW TO FILTER:</t>
  </si>
  <si>
    <t>Auto Filter is enabled on all columns:</t>
  </si>
  <si>
    <t xml:space="preserve">  1. Click filter icon in header (row 2)</t>
  </si>
  <si>
    <t xml:space="preserve">  2. Select filter criteria</t>
  </si>
  <si>
    <t xml:space="preserve">  3. Click OK to apply</t>
  </si>
  <si>
    <t xml:space="preserve">  4. Click 'Clear Filter' to remove</t>
  </si>
  <si>
    <t>TIPS:</t>
  </si>
  <si>
    <t xml:space="preserve">  • Use Freeze Panes: Columns A-F and row 2 stay visible when scrolling</t>
  </si>
  <si>
    <t xml:space="preserve">  • Use Auto Filter: Quickly find specific Areas, Categories, or Attributes</t>
  </si>
  <si>
    <t xml:space="preserve">  • Use Groups: Hide unnecessary details for cleaner view</t>
  </si>
  <si>
    <t xml:space="preserve">  • Category_Path shows full hierarchy: 'Area &gt; Category &gt; Subcategory'</t>
  </si>
  <si>
    <t xml:space="preserve">  • Level 0 = Area, Level 1 = Top Category, Level 2+ = Subcategories</t>
  </si>
  <si>
    <t>VALIDATION RULES:</t>
  </si>
  <si>
    <t>Drop-down lists are provided for:</t>
  </si>
  <si>
    <t xml:space="preserve">  • Type (A): Area, Category, Attribute</t>
  </si>
  <si>
    <t xml:space="preserve">  • Data_Type (H): number, text, datetime, boolean, link</t>
  </si>
  <si>
    <t xml:space="preserve">  • Is_Required (J): TRUE, FALSE</t>
  </si>
  <si>
    <t>FORMULAS:</t>
  </si>
  <si>
    <t>These columns use formulas (don't edit):</t>
  </si>
  <si>
    <t>RE-IMPORTING:</t>
  </si>
  <si>
    <t>After editing, you can re-import this file:</t>
  </si>
  <si>
    <t xml:space="preserve">  1. Save your changes in Excel</t>
  </si>
  <si>
    <t xml:space="preserve">  2. Go to Events Tracker app</t>
  </si>
  <si>
    <t xml:space="preserve">  3. Navigate to 'Upload Template'</t>
  </si>
  <si>
    <t xml:space="preserve">  4. Upload this edited file</t>
  </si>
  <si>
    <t xml:space="preserve">  5. Review detected changes</t>
  </si>
  <si>
    <t xml:space="preserve">  6. Confirm to apply changes</t>
  </si>
  <si>
    <t>IMPORTANT NOTES:</t>
  </si>
  <si>
    <t xml:space="preserve">  • Always keep the structure intact (don't delete columns)</t>
  </si>
  <si>
    <t xml:space="preserve">  • Don't change PINK column values</t>
  </si>
  <si>
    <t xml:space="preserve">  • Use app features to add/delete Areas, Categories, Attributes</t>
  </si>
  <si>
    <t xml:space="preserve">  • This file is for viewing and light editing only</t>
  </si>
  <si>
    <t xml:space="preserve">  • For major changes, use the app interface</t>
  </si>
  <si>
    <t>SUPPORT:</t>
  </si>
  <si>
    <t>If you have questions or issues:</t>
  </si>
  <si>
    <t xml:space="preserve">  • Check the app Help section</t>
  </si>
  <si>
    <t xml:space="preserve">  • Review this Help sheet</t>
  </si>
  <si>
    <t xml:space="preserve">  • Contact support if needed</t>
  </si>
  <si>
    <t>VERSION:</t>
  </si>
  <si>
    <t>Enhanced Structure Export v2.1</t>
  </si>
  <si>
    <t>Generated: 2025-11-24 11:41:25</t>
  </si>
  <si>
    <t>Curency Value</t>
  </si>
  <si>
    <t>Mirovina  (ocekuje mjesecni prihod)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</si>
</sst>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F0"/>
        <bgColor rgb="FFFFE6F0"/>
      </patternFill>
    </fill>
    <fill>
      <patternFill patternType="solid">
        <fgColor rgb="FFE6F2FF"/>
        <bgColor rgb="FFE6F2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2" fillId="2" borderId="0" xfId="0" applyFont="1" applyFill="1"/>
    <xf numFmtId="0" fontId="3" fillId="4" borderId="0" xfId="0" applyFont="1" applyFill="1"/>
    <xf numFmtId="0" fontId="0" fillId="0" borderId="0" xfId="0" applyAlignment="1">
      <alignment indent="1"/>
    </xf>
    <xf numFmtId="0" fontId="4" fillId="0" borderId="0" xfId="0" applyFont="1"/>
    <xf numFmtId="0" fontId="0" fillId="5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2"/>
  <sheetViews>
    <sheetView tabSelected="1" workbookViewId="0">
      <pane xSplit="6" ySplit="2" topLeftCell="G3" activePane="bottomRight" state="frozen"/>
      <selection pane="topRight"/>
      <selection pane="bottomLeft"/>
      <selection pane="bottomRight" activeCell="E9" sqref="E9"/>
    </sheetView>
  </sheetViews>
  <sheetFormatPr defaultRowHeight="14.4" outlineLevelRow="3" outlineLevelCol="1" x14ac:dyDescent="0.3"/>
  <cols>
    <col min="1" max="1" width="10" customWidth="1"/>
    <col min="2" max="3" width="10" customWidth="1" outlineLevel="1"/>
    <col min="4" max="4" width="10" customWidth="1"/>
    <col min="5" max="5" width="34" customWidth="1"/>
    <col min="6" max="6" width="16" customWidth="1" outlineLevel="1"/>
    <col min="7" max="7" width="20" customWidth="1"/>
    <col min="8" max="8" width="11" customWidth="1" outlineLevel="1"/>
    <col min="9" max="9" width="10" customWidth="1" outlineLevel="1"/>
    <col min="10" max="10" width="13" customWidth="1" outlineLevel="1"/>
    <col min="11" max="11" width="15" customWidth="1" outlineLevel="1"/>
    <col min="12" max="13" width="16" customWidth="1" outlineLevel="1"/>
    <col min="14" max="14" width="40" customWidth="1"/>
  </cols>
  <sheetData>
    <row r="2" spans="1:1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3">
      <c r="A3" s="2" t="s">
        <v>3</v>
      </c>
      <c r="B3" s="2">
        <v>0</v>
      </c>
      <c r="C3" s="2">
        <v>0</v>
      </c>
      <c r="D3" s="3" t="str">
        <f t="shared" ref="D3:D32" si="0">TRIM(LEFT(E3,IFERROR(FIND("&gt;",E3)-1,LEN(E3))))</f>
        <v>Finance</v>
      </c>
      <c r="E3" s="3" t="s">
        <v>14</v>
      </c>
      <c r="F3" s="4"/>
      <c r="G3" s="4"/>
      <c r="H3" s="5"/>
      <c r="I3" s="5"/>
      <c r="J3" s="5"/>
      <c r="K3" s="4"/>
      <c r="L3" s="5"/>
      <c r="M3" s="5"/>
      <c r="N3" s="4"/>
    </row>
    <row r="4" spans="1:14" outlineLevel="1" x14ac:dyDescent="0.3">
      <c r="A4" s="2" t="s">
        <v>5</v>
      </c>
      <c r="B4" s="2">
        <f>LEN(E4)-LEN(SUBSTITUTE(E4,"&gt;",""))</f>
        <v>1</v>
      </c>
      <c r="C4" s="2">
        <v>0</v>
      </c>
      <c r="D4" s="3" t="str">
        <f t="shared" si="0"/>
        <v>Finance</v>
      </c>
      <c r="E4" s="3" t="s">
        <v>15</v>
      </c>
      <c r="F4" s="4" t="s">
        <v>16</v>
      </c>
      <c r="G4" s="4"/>
      <c r="H4" s="5"/>
      <c r="I4" s="5"/>
      <c r="J4" s="5"/>
      <c r="K4" s="4"/>
      <c r="L4" s="5"/>
      <c r="M4" s="5"/>
      <c r="N4" s="4"/>
    </row>
    <row r="5" spans="1:14" outlineLevel="1" x14ac:dyDescent="0.3">
      <c r="A5" s="2" t="s">
        <v>5</v>
      </c>
      <c r="B5" s="2">
        <f>LEN(E5)-LEN(SUBSTITUTE(E5,"&gt;",""))</f>
        <v>2</v>
      </c>
      <c r="C5" s="2">
        <v>1</v>
      </c>
      <c r="D5" s="3" t="str">
        <f t="shared" si="0"/>
        <v>Finance</v>
      </c>
      <c r="E5" s="10" t="s">
        <v>18</v>
      </c>
      <c r="F5" s="4" t="s">
        <v>19</v>
      </c>
      <c r="G5" s="4"/>
      <c r="H5" s="5"/>
      <c r="I5" s="5"/>
      <c r="J5" s="5"/>
      <c r="K5" s="4"/>
      <c r="L5" s="5"/>
      <c r="M5" s="5"/>
      <c r="N5" s="4" t="s">
        <v>172</v>
      </c>
    </row>
    <row r="6" spans="1:14" outlineLevel="1" x14ac:dyDescent="0.3">
      <c r="A6" s="2" t="s">
        <v>17</v>
      </c>
      <c r="B6" s="2">
        <f>LEN(E6)-LEN(SUBSTITUTE(E6,"&gt;",""))+1</f>
        <v>3</v>
      </c>
      <c r="C6" s="2">
        <v>1</v>
      </c>
      <c r="D6" s="3" t="str">
        <f t="shared" si="0"/>
        <v>Finance</v>
      </c>
      <c r="E6" s="10" t="s">
        <v>18</v>
      </c>
      <c r="F6" s="4" t="s">
        <v>19</v>
      </c>
      <c r="G6" s="4" t="s">
        <v>171</v>
      </c>
      <c r="H6" s="5" t="s">
        <v>20</v>
      </c>
      <c r="I6" s="5" t="s">
        <v>21</v>
      </c>
      <c r="J6" s="5" t="s">
        <v>22</v>
      </c>
      <c r="K6" s="4"/>
      <c r="L6" s="5">
        <v>0</v>
      </c>
      <c r="M6" s="5"/>
      <c r="N6" s="4" t="s">
        <v>23</v>
      </c>
    </row>
    <row r="7" spans="1:14" outlineLevel="1" x14ac:dyDescent="0.3">
      <c r="A7" s="2" t="s">
        <v>5</v>
      </c>
      <c r="B7" s="2">
        <f>LEN(E7)-LEN(SUBSTITUTE(E7,"&gt;",""))</f>
        <v>1</v>
      </c>
      <c r="C7" s="2">
        <v>0</v>
      </c>
      <c r="D7" s="3" t="str">
        <f t="shared" si="0"/>
        <v>Finance</v>
      </c>
      <c r="E7" s="3" t="s">
        <v>24</v>
      </c>
      <c r="F7" s="4" t="s">
        <v>25</v>
      </c>
      <c r="G7" s="4"/>
      <c r="H7" s="5"/>
      <c r="I7" s="5"/>
      <c r="J7" s="5"/>
      <c r="K7" s="4"/>
      <c r="L7" s="5"/>
      <c r="M7" s="5"/>
      <c r="N7" s="4"/>
    </row>
    <row r="8" spans="1:14" x14ac:dyDescent="0.3">
      <c r="A8" s="2" t="s">
        <v>3</v>
      </c>
      <c r="B8" s="2">
        <v>0</v>
      </c>
      <c r="C8" s="2">
        <v>0</v>
      </c>
      <c r="D8" s="3" t="str">
        <f t="shared" si="0"/>
        <v>Projects</v>
      </c>
      <c r="E8" s="3" t="s">
        <v>26</v>
      </c>
      <c r="F8" s="4"/>
      <c r="G8" s="4"/>
      <c r="H8" s="5"/>
      <c r="I8" s="5"/>
      <c r="J8" s="5"/>
      <c r="K8" s="4"/>
      <c r="L8" s="5"/>
      <c r="M8" s="5"/>
      <c r="N8" s="4"/>
    </row>
    <row r="9" spans="1:14" x14ac:dyDescent="0.3">
      <c r="A9" s="2" t="s">
        <v>5</v>
      </c>
      <c r="B9" s="2">
        <f>LEN(E9)-LEN(SUBSTITUTE(E9,"&gt;",""))</f>
        <v>1</v>
      </c>
      <c r="C9" s="2">
        <v>0</v>
      </c>
      <c r="D9" s="3" t="str">
        <f t="shared" si="0"/>
        <v>Projects</v>
      </c>
      <c r="E9" s="3" t="s">
        <v>27</v>
      </c>
      <c r="F9" s="4" t="s">
        <v>28</v>
      </c>
      <c r="G9" s="4"/>
      <c r="H9" s="5"/>
      <c r="I9" s="5"/>
      <c r="J9" s="5"/>
      <c r="K9" s="4"/>
      <c r="L9" s="5"/>
      <c r="M9" s="5"/>
      <c r="N9" s="4"/>
    </row>
    <row r="10" spans="1:14" x14ac:dyDescent="0.3">
      <c r="A10" s="2" t="s">
        <v>3</v>
      </c>
      <c r="B10" s="2">
        <v>0</v>
      </c>
      <c r="C10" s="2">
        <v>1</v>
      </c>
      <c r="D10" s="3" t="str">
        <f t="shared" si="0"/>
        <v>Health</v>
      </c>
      <c r="E10" s="3" t="s">
        <v>29</v>
      </c>
      <c r="F10" s="4"/>
      <c r="G10" s="4"/>
      <c r="H10" s="5"/>
      <c r="I10" s="5"/>
      <c r="J10" s="5"/>
      <c r="K10" s="4"/>
      <c r="L10" s="5"/>
      <c r="M10" s="5"/>
      <c r="N10" s="4" t="s">
        <v>30</v>
      </c>
    </row>
    <row r="11" spans="1:14" outlineLevel="1" x14ac:dyDescent="0.3">
      <c r="A11" s="2" t="s">
        <v>5</v>
      </c>
      <c r="B11" s="2">
        <f>LEN(E11)-LEN(SUBSTITUTE(E11,"&gt;",""))</f>
        <v>1</v>
      </c>
      <c r="C11" s="2">
        <v>1</v>
      </c>
      <c r="D11" s="3" t="str">
        <f t="shared" si="0"/>
        <v>Health</v>
      </c>
      <c r="E11" s="3" t="s">
        <v>31</v>
      </c>
      <c r="F11" s="4" t="s">
        <v>32</v>
      </c>
      <c r="G11" s="4"/>
      <c r="H11" s="5"/>
      <c r="I11" s="5"/>
      <c r="J11" s="5"/>
      <c r="K11" s="4"/>
      <c r="L11" s="5"/>
      <c r="M11" s="5"/>
      <c r="N11" s="4" t="s">
        <v>33</v>
      </c>
    </row>
    <row r="12" spans="1:14" outlineLevel="1" x14ac:dyDescent="0.3">
      <c r="A12" s="2" t="s">
        <v>17</v>
      </c>
      <c r="B12" s="2">
        <f>LEN(E12)-LEN(SUBSTITUTE(E12,"&gt;",""))+1</f>
        <v>2</v>
      </c>
      <c r="C12" s="2">
        <v>2</v>
      </c>
      <c r="D12" s="3" t="str">
        <f t="shared" si="0"/>
        <v>Health</v>
      </c>
      <c r="E12" s="3" t="s">
        <v>31</v>
      </c>
      <c r="F12" s="4" t="s">
        <v>32</v>
      </c>
      <c r="G12" s="4" t="s">
        <v>34</v>
      </c>
      <c r="H12" s="5" t="s">
        <v>20</v>
      </c>
      <c r="I12" s="5" t="s">
        <v>35</v>
      </c>
      <c r="J12" s="5" t="s">
        <v>36</v>
      </c>
      <c r="K12" s="4"/>
      <c r="L12" s="5">
        <v>0</v>
      </c>
      <c r="M12" s="5">
        <v>12</v>
      </c>
      <c r="N12" s="4" t="s">
        <v>37</v>
      </c>
    </row>
    <row r="13" spans="1:14" outlineLevel="1" x14ac:dyDescent="0.3">
      <c r="A13" s="2" t="s">
        <v>17</v>
      </c>
      <c r="B13" s="2">
        <f>LEN(E13)-LEN(SUBSTITUTE(E13,"&gt;",""))+1</f>
        <v>2</v>
      </c>
      <c r="C13" s="2">
        <v>3</v>
      </c>
      <c r="D13" s="3" t="str">
        <f t="shared" si="0"/>
        <v>Health</v>
      </c>
      <c r="E13" s="3" t="s">
        <v>31</v>
      </c>
      <c r="F13" s="4" t="s">
        <v>32</v>
      </c>
      <c r="G13" s="4" t="s">
        <v>38</v>
      </c>
      <c r="H13" s="5" t="s">
        <v>20</v>
      </c>
      <c r="I13" s="5" t="s">
        <v>39</v>
      </c>
      <c r="J13" s="5" t="s">
        <v>36</v>
      </c>
      <c r="K13" s="4"/>
      <c r="L13" s="5">
        <v>0</v>
      </c>
      <c r="M13" s="5">
        <v>100</v>
      </c>
      <c r="N13" s="4" t="s">
        <v>40</v>
      </c>
    </row>
    <row r="14" spans="1:14" outlineLevel="1" x14ac:dyDescent="0.3">
      <c r="A14" s="2" t="s">
        <v>5</v>
      </c>
      <c r="B14" s="2">
        <f>LEN(E14)-LEN(SUBSTITUTE(E14,"&gt;",""))</f>
        <v>1</v>
      </c>
      <c r="C14" s="2">
        <v>2</v>
      </c>
      <c r="D14" s="3" t="str">
        <f t="shared" si="0"/>
        <v>Health</v>
      </c>
      <c r="E14" s="3" t="s">
        <v>41</v>
      </c>
      <c r="F14" s="4" t="s">
        <v>42</v>
      </c>
      <c r="G14" s="4"/>
      <c r="H14" s="5"/>
      <c r="I14" s="5"/>
      <c r="J14" s="5"/>
      <c r="K14" s="4"/>
      <c r="L14" s="5"/>
      <c r="M14" s="5"/>
      <c r="N14" s="4" t="s">
        <v>43</v>
      </c>
    </row>
    <row r="15" spans="1:14" outlineLevel="1" x14ac:dyDescent="0.3">
      <c r="A15" s="2" t="s">
        <v>17</v>
      </c>
      <c r="B15" s="2">
        <f>LEN(E15)-LEN(SUBSTITUTE(E15,"&gt;",""))+1</f>
        <v>2</v>
      </c>
      <c r="C15" s="2">
        <v>1</v>
      </c>
      <c r="D15" s="3" t="str">
        <f t="shared" si="0"/>
        <v>Health</v>
      </c>
      <c r="E15" s="3" t="s">
        <v>41</v>
      </c>
      <c r="F15" s="4" t="s">
        <v>42</v>
      </c>
      <c r="G15" s="4" t="s">
        <v>44</v>
      </c>
      <c r="H15" s="5" t="s">
        <v>20</v>
      </c>
      <c r="I15" s="5" t="s">
        <v>45</v>
      </c>
      <c r="J15" s="5" t="s">
        <v>36</v>
      </c>
      <c r="K15" s="4"/>
      <c r="L15" s="5">
        <v>0</v>
      </c>
      <c r="M15" s="5">
        <v>100000</v>
      </c>
      <c r="N15" s="4" t="s">
        <v>46</v>
      </c>
    </row>
    <row r="16" spans="1:14" outlineLevel="1" x14ac:dyDescent="0.3">
      <c r="A16" s="2" t="s">
        <v>17</v>
      </c>
      <c r="B16" s="2">
        <f>LEN(E16)-LEN(SUBSTITUTE(E16,"&gt;",""))+1</f>
        <v>2</v>
      </c>
      <c r="C16" s="2">
        <v>2</v>
      </c>
      <c r="D16" s="3" t="str">
        <f t="shared" si="0"/>
        <v>Health</v>
      </c>
      <c r="E16" s="3" t="s">
        <v>41</v>
      </c>
      <c r="F16" s="4" t="s">
        <v>42</v>
      </c>
      <c r="G16" s="4" t="s">
        <v>47</v>
      </c>
      <c r="H16" s="5" t="s">
        <v>20</v>
      </c>
      <c r="I16" s="5" t="s">
        <v>48</v>
      </c>
      <c r="J16" s="5" t="s">
        <v>36</v>
      </c>
      <c r="K16" s="4"/>
      <c r="L16" s="5">
        <v>30</v>
      </c>
      <c r="M16" s="5">
        <v>120</v>
      </c>
      <c r="N16" s="4" t="s">
        <v>49</v>
      </c>
    </row>
    <row r="17" spans="1:14" outlineLevel="1" x14ac:dyDescent="0.3">
      <c r="A17" s="2" t="s">
        <v>17</v>
      </c>
      <c r="B17" s="2">
        <f>LEN(E17)-LEN(SUBSTITUTE(E17,"&gt;",""))+1</f>
        <v>2</v>
      </c>
      <c r="C17" s="2">
        <v>3</v>
      </c>
      <c r="D17" s="3" t="str">
        <f t="shared" si="0"/>
        <v>Health</v>
      </c>
      <c r="E17" s="3" t="s">
        <v>41</v>
      </c>
      <c r="F17" s="4" t="s">
        <v>42</v>
      </c>
      <c r="G17" s="4" t="s">
        <v>50</v>
      </c>
      <c r="H17" s="5" t="s">
        <v>20</v>
      </c>
      <c r="I17" s="5" t="s">
        <v>51</v>
      </c>
      <c r="J17" s="5" t="s">
        <v>36</v>
      </c>
      <c r="K17" s="4"/>
      <c r="L17" s="5">
        <v>0</v>
      </c>
      <c r="M17" s="5">
        <v>200</v>
      </c>
      <c r="N17" s="4" t="s">
        <v>52</v>
      </c>
    </row>
    <row r="18" spans="1:14" outlineLevel="1" x14ac:dyDescent="0.3">
      <c r="A18" s="2" t="s">
        <v>17</v>
      </c>
      <c r="B18" s="2">
        <f>LEN(E18)-LEN(SUBSTITUTE(E18,"&gt;",""))+1</f>
        <v>2</v>
      </c>
      <c r="C18" s="2">
        <v>4</v>
      </c>
      <c r="D18" s="3" t="str">
        <f t="shared" si="0"/>
        <v>Health</v>
      </c>
      <c r="E18" s="3" t="s">
        <v>41</v>
      </c>
      <c r="F18" s="4" t="s">
        <v>42</v>
      </c>
      <c r="G18" s="4" t="s">
        <v>53</v>
      </c>
      <c r="H18" s="5" t="s">
        <v>20</v>
      </c>
      <c r="I18" s="5" t="s">
        <v>39</v>
      </c>
      <c r="J18" s="5" t="s">
        <v>36</v>
      </c>
      <c r="K18" s="4"/>
      <c r="L18" s="5">
        <v>0</v>
      </c>
      <c r="M18" s="5">
        <v>100</v>
      </c>
      <c r="N18" s="4" t="s">
        <v>54</v>
      </c>
    </row>
    <row r="19" spans="1:14" x14ac:dyDescent="0.3">
      <c r="A19" s="2" t="s">
        <v>3</v>
      </c>
      <c r="B19" s="2">
        <v>0</v>
      </c>
      <c r="C19" s="2">
        <v>2</v>
      </c>
      <c r="D19" s="3" t="str">
        <f t="shared" si="0"/>
        <v>Training</v>
      </c>
      <c r="E19" s="3" t="s">
        <v>55</v>
      </c>
      <c r="F19" s="4"/>
      <c r="G19" s="4"/>
      <c r="H19" s="5"/>
      <c r="I19" s="5"/>
      <c r="J19" s="5"/>
      <c r="K19" s="4"/>
      <c r="L19" s="5"/>
      <c r="M19" s="5"/>
      <c r="N19" s="4" t="s">
        <v>56</v>
      </c>
    </row>
    <row r="20" spans="1:14" outlineLevel="1" x14ac:dyDescent="0.3">
      <c r="A20" s="2" t="s">
        <v>5</v>
      </c>
      <c r="B20" s="2">
        <f>LEN(E20)-LEN(SUBSTITUTE(E20,"&gt;",""))</f>
        <v>1</v>
      </c>
      <c r="C20" s="2">
        <v>1</v>
      </c>
      <c r="D20" s="3" t="str">
        <f t="shared" si="0"/>
        <v>Training</v>
      </c>
      <c r="E20" s="3" t="s">
        <v>57</v>
      </c>
      <c r="F20" s="4" t="s">
        <v>58</v>
      </c>
      <c r="G20" s="4"/>
      <c r="H20" s="5"/>
      <c r="I20" s="5"/>
      <c r="J20" s="5"/>
      <c r="K20" s="4"/>
      <c r="L20" s="5"/>
      <c r="M20" s="5"/>
      <c r="N20" s="4" t="s">
        <v>59</v>
      </c>
    </row>
    <row r="21" spans="1:14" outlineLevel="1" x14ac:dyDescent="0.3">
      <c r="A21" s="2" t="s">
        <v>17</v>
      </c>
      <c r="B21" s="2">
        <f>LEN(E21)-LEN(SUBSTITUTE(E21,"&gt;",""))+1</f>
        <v>2</v>
      </c>
      <c r="C21" s="2">
        <v>1</v>
      </c>
      <c r="D21" s="3" t="str">
        <f t="shared" si="0"/>
        <v>Training</v>
      </c>
      <c r="E21" s="3" t="s">
        <v>57</v>
      </c>
      <c r="F21" s="4" t="s">
        <v>58</v>
      </c>
      <c r="G21" s="4" t="s">
        <v>60</v>
      </c>
      <c r="H21" s="5" t="s">
        <v>20</v>
      </c>
      <c r="I21" s="5" t="s">
        <v>61</v>
      </c>
      <c r="J21" s="5" t="s">
        <v>22</v>
      </c>
      <c r="K21" s="4"/>
      <c r="L21" s="5">
        <v>1</v>
      </c>
      <c r="M21" s="5">
        <v>1440</v>
      </c>
      <c r="N21" s="4"/>
    </row>
    <row r="22" spans="1:14" outlineLevel="1" x14ac:dyDescent="0.3">
      <c r="A22" s="2" t="s">
        <v>17</v>
      </c>
      <c r="B22" s="2">
        <f>LEN(E22)-LEN(SUBSTITUTE(E22,"&gt;",""))+1</f>
        <v>2</v>
      </c>
      <c r="C22" s="2">
        <v>2</v>
      </c>
      <c r="D22" s="3" t="str">
        <f t="shared" si="0"/>
        <v>Training</v>
      </c>
      <c r="E22" s="3" t="s">
        <v>57</v>
      </c>
      <c r="F22" s="4" t="s">
        <v>58</v>
      </c>
      <c r="G22" s="4" t="s">
        <v>62</v>
      </c>
      <c r="H22" s="5" t="s">
        <v>20</v>
      </c>
      <c r="I22" s="5" t="s">
        <v>63</v>
      </c>
      <c r="J22" s="5" t="s">
        <v>36</v>
      </c>
      <c r="K22" s="4"/>
      <c r="L22" s="5">
        <v>0</v>
      </c>
      <c r="M22" s="5">
        <v>240</v>
      </c>
      <c r="N22" s="4"/>
    </row>
    <row r="23" spans="1:14" outlineLevel="1" x14ac:dyDescent="0.3">
      <c r="A23" s="2" t="s">
        <v>17</v>
      </c>
      <c r="B23" s="2">
        <f>LEN(E23)-LEN(SUBSTITUTE(E23,"&gt;",""))+1</f>
        <v>2</v>
      </c>
      <c r="C23" s="2">
        <v>3</v>
      </c>
      <c r="D23" s="3" t="str">
        <f t="shared" si="0"/>
        <v>Training</v>
      </c>
      <c r="E23" s="3" t="s">
        <v>57</v>
      </c>
      <c r="F23" s="4" t="s">
        <v>58</v>
      </c>
      <c r="G23" s="4" t="s">
        <v>64</v>
      </c>
      <c r="H23" s="5" t="s">
        <v>20</v>
      </c>
      <c r="I23" s="5" t="s">
        <v>48</v>
      </c>
      <c r="J23" s="5" t="s">
        <v>36</v>
      </c>
      <c r="K23" s="4"/>
      <c r="L23" s="5">
        <v>40</v>
      </c>
      <c r="M23" s="5">
        <v>220</v>
      </c>
      <c r="N23" s="4"/>
    </row>
    <row r="24" spans="1:14" outlineLevel="1" x14ac:dyDescent="0.3">
      <c r="A24" s="2" t="s">
        <v>17</v>
      </c>
      <c r="B24" s="2">
        <f>LEN(E24)-LEN(SUBSTITUTE(E24,"&gt;",""))+1</f>
        <v>2</v>
      </c>
      <c r="C24" s="2">
        <v>4</v>
      </c>
      <c r="D24" s="3" t="str">
        <f t="shared" si="0"/>
        <v>Training</v>
      </c>
      <c r="E24" s="3" t="s">
        <v>57</v>
      </c>
      <c r="F24" s="4" t="s">
        <v>58</v>
      </c>
      <c r="G24" s="4" t="s">
        <v>65</v>
      </c>
      <c r="H24" s="5" t="s">
        <v>20</v>
      </c>
      <c r="I24" s="5" t="s">
        <v>48</v>
      </c>
      <c r="J24" s="5" t="s">
        <v>36</v>
      </c>
      <c r="K24" s="4"/>
      <c r="L24" s="5">
        <v>40</v>
      </c>
      <c r="M24" s="5">
        <v>220</v>
      </c>
      <c r="N24" s="4"/>
    </row>
    <row r="25" spans="1:14" outlineLevel="1" x14ac:dyDescent="0.3">
      <c r="A25" s="2" t="s">
        <v>17</v>
      </c>
      <c r="B25" s="2">
        <f>LEN(E25)-LEN(SUBSTITUTE(E25,"&gt;",""))+1</f>
        <v>2</v>
      </c>
      <c r="C25" s="2">
        <v>5</v>
      </c>
      <c r="D25" s="3" t="str">
        <f t="shared" si="0"/>
        <v>Training</v>
      </c>
      <c r="E25" s="3" t="s">
        <v>57</v>
      </c>
      <c r="F25" s="4" t="s">
        <v>58</v>
      </c>
      <c r="G25" s="4" t="s">
        <v>66</v>
      </c>
      <c r="H25" s="5" t="s">
        <v>20</v>
      </c>
      <c r="I25" s="5" t="s">
        <v>67</v>
      </c>
      <c r="J25" s="5" t="s">
        <v>36</v>
      </c>
      <c r="K25" s="4"/>
      <c r="L25" s="5">
        <v>0</v>
      </c>
      <c r="M25" s="5">
        <v>5000</v>
      </c>
      <c r="N25" s="4"/>
    </row>
    <row r="26" spans="1:14" outlineLevel="1" x14ac:dyDescent="0.3">
      <c r="A26" s="2" t="s">
        <v>5</v>
      </c>
      <c r="B26" s="2">
        <f>LEN(E26)-LEN(SUBSTITUTE(E26,"&gt;",""))</f>
        <v>1</v>
      </c>
      <c r="C26" s="2">
        <v>2</v>
      </c>
      <c r="D26" s="3" t="str">
        <f t="shared" si="0"/>
        <v>Training</v>
      </c>
      <c r="E26" s="3" t="s">
        <v>68</v>
      </c>
      <c r="F26" s="4" t="s">
        <v>69</v>
      </c>
      <c r="G26" s="4"/>
      <c r="H26" s="5"/>
      <c r="I26" s="5"/>
      <c r="J26" s="5"/>
      <c r="K26" s="4"/>
      <c r="L26" s="5"/>
      <c r="M26" s="5"/>
      <c r="N26" s="4" t="s">
        <v>70</v>
      </c>
    </row>
    <row r="27" spans="1:14" outlineLevel="2" x14ac:dyDescent="0.3">
      <c r="A27" s="2" t="s">
        <v>17</v>
      </c>
      <c r="B27" s="2">
        <f>LEN(E27)-LEN(SUBSTITUTE(E27,"&gt;",""))+1</f>
        <v>2</v>
      </c>
      <c r="C27" s="2">
        <v>1</v>
      </c>
      <c r="D27" s="3" t="str">
        <f t="shared" si="0"/>
        <v>Training</v>
      </c>
      <c r="E27" s="3" t="s">
        <v>68</v>
      </c>
      <c r="F27" s="4" t="s">
        <v>69</v>
      </c>
      <c r="G27" s="4" t="s">
        <v>60</v>
      </c>
      <c r="H27" s="5" t="s">
        <v>20</v>
      </c>
      <c r="I27" s="5" t="s">
        <v>61</v>
      </c>
      <c r="J27" s="5" t="s">
        <v>22</v>
      </c>
      <c r="K27" s="4"/>
      <c r="L27" s="5">
        <v>1</v>
      </c>
      <c r="M27" s="5">
        <v>600</v>
      </c>
      <c r="N27" s="4"/>
    </row>
    <row r="28" spans="1:14" outlineLevel="2" x14ac:dyDescent="0.3">
      <c r="A28" s="2" t="s">
        <v>17</v>
      </c>
      <c r="B28" s="2">
        <f>LEN(E28)-LEN(SUBSTITUTE(E28,"&gt;",""))+1</f>
        <v>2</v>
      </c>
      <c r="C28" s="2">
        <v>2</v>
      </c>
      <c r="D28" s="3" t="str">
        <f t="shared" si="0"/>
        <v>Training</v>
      </c>
      <c r="E28" s="3" t="s">
        <v>68</v>
      </c>
      <c r="F28" s="4" t="s">
        <v>69</v>
      </c>
      <c r="G28" s="4" t="s">
        <v>71</v>
      </c>
      <c r="H28" s="5" t="s">
        <v>20</v>
      </c>
      <c r="I28" s="5" t="s">
        <v>72</v>
      </c>
      <c r="J28" s="5" t="s">
        <v>36</v>
      </c>
      <c r="K28" s="4"/>
      <c r="L28" s="5">
        <v>1</v>
      </c>
      <c r="M28" s="5">
        <v>100</v>
      </c>
      <c r="N28" s="4"/>
    </row>
    <row r="29" spans="1:14" outlineLevel="2" x14ac:dyDescent="0.3">
      <c r="A29" s="2" t="s">
        <v>17</v>
      </c>
      <c r="B29" s="2">
        <f>LEN(E29)-LEN(SUBSTITUTE(E29,"&gt;",""))+1</f>
        <v>2</v>
      </c>
      <c r="C29" s="2">
        <v>3</v>
      </c>
      <c r="D29" s="3" t="str">
        <f t="shared" si="0"/>
        <v>Training</v>
      </c>
      <c r="E29" s="3" t="s">
        <v>68</v>
      </c>
      <c r="F29" s="4" t="s">
        <v>69</v>
      </c>
      <c r="G29" s="4" t="s">
        <v>73</v>
      </c>
      <c r="H29" s="5" t="s">
        <v>74</v>
      </c>
      <c r="I29" s="5"/>
      <c r="J29" s="5" t="s">
        <v>36</v>
      </c>
      <c r="K29" s="4"/>
      <c r="L29" s="5"/>
      <c r="M29" s="5"/>
      <c r="N29" s="4"/>
    </row>
    <row r="30" spans="1:14" outlineLevel="2" x14ac:dyDescent="0.3">
      <c r="A30" s="2" t="s">
        <v>5</v>
      </c>
      <c r="B30" s="2">
        <f>LEN(E30)-LEN(SUBSTITUTE(E30,"&gt;",""))</f>
        <v>2</v>
      </c>
      <c r="C30" s="2">
        <v>0</v>
      </c>
      <c r="D30" s="3" t="str">
        <f t="shared" si="0"/>
        <v>Training</v>
      </c>
      <c r="E30" s="3" t="s">
        <v>75</v>
      </c>
      <c r="F30" s="4" t="s">
        <v>76</v>
      </c>
      <c r="G30" s="4"/>
      <c r="H30" s="5"/>
      <c r="I30" s="5"/>
      <c r="J30" s="5"/>
      <c r="K30" s="4"/>
      <c r="L30" s="5"/>
      <c r="M30" s="5"/>
      <c r="N30" s="4"/>
    </row>
    <row r="31" spans="1:14" outlineLevel="2" x14ac:dyDescent="0.3">
      <c r="A31" s="2" t="s">
        <v>5</v>
      </c>
      <c r="B31" s="2">
        <f>LEN(E31)-LEN(SUBSTITUTE(E31,"&gt;",""))</f>
        <v>2</v>
      </c>
      <c r="C31" s="2">
        <v>1</v>
      </c>
      <c r="D31" s="3" t="str">
        <f t="shared" si="0"/>
        <v>Training</v>
      </c>
      <c r="E31" s="3" t="s">
        <v>77</v>
      </c>
      <c r="F31" s="4" t="s">
        <v>78</v>
      </c>
      <c r="G31" s="4"/>
      <c r="H31" s="5"/>
      <c r="I31" s="5"/>
      <c r="J31" s="5"/>
      <c r="K31" s="4"/>
      <c r="L31" s="5"/>
      <c r="M31" s="5"/>
      <c r="N31" s="4" t="s">
        <v>79</v>
      </c>
    </row>
    <row r="32" spans="1:14" outlineLevel="3" x14ac:dyDescent="0.3">
      <c r="A32" s="2" t="s">
        <v>17</v>
      </c>
      <c r="B32" s="2">
        <f>LEN(E32)-LEN(SUBSTITUTE(E32,"&gt;",""))+1</f>
        <v>3</v>
      </c>
      <c r="C32" s="2">
        <v>1</v>
      </c>
      <c r="D32" s="3" t="str">
        <f t="shared" si="0"/>
        <v>Training</v>
      </c>
      <c r="E32" s="3" t="s">
        <v>77</v>
      </c>
      <c r="F32" s="4" t="s">
        <v>78</v>
      </c>
      <c r="G32" s="4" t="s">
        <v>80</v>
      </c>
      <c r="H32" s="5" t="s">
        <v>20</v>
      </c>
      <c r="I32" s="5" t="s">
        <v>81</v>
      </c>
      <c r="J32" s="5" t="s">
        <v>36</v>
      </c>
      <c r="K32" s="4"/>
      <c r="L32" s="5">
        <v>0</v>
      </c>
      <c r="M32" s="5">
        <v>500</v>
      </c>
      <c r="N32" s="4"/>
    </row>
  </sheetData>
  <autoFilter ref="A2:N32" xr:uid="{00000000-0009-0000-0000-000000000000}"/>
  <dataValidations count="3">
    <dataValidation type="list" showDropDown="1" sqref="A3:A132" xr:uid="{00000000-0002-0000-0000-000000000000}">
      <formula1>"Area,Category,Attribute"</formula1>
    </dataValidation>
    <dataValidation type="list" showDropDown="1" sqref="H3:H132" xr:uid="{00000000-0002-0000-0000-000001000000}">
      <formula1>"number,text,datetime,boolean,link"</formula1>
    </dataValidation>
    <dataValidation type="list" showDropDown="1" sqref="J3:J132" xr:uid="{00000000-0002-0000-0000-000002000000}">
      <formula1>"TRUE,FALSE"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6"/>
  <sheetViews>
    <sheetView workbookViewId="0">
      <pane ySplit="1" topLeftCell="A13" activePane="bottomLeft" state="frozen"/>
      <selection pane="bottomLeft" activeCell="A33" sqref="A33"/>
    </sheetView>
  </sheetViews>
  <sheetFormatPr defaultRowHeight="14.4" x14ac:dyDescent="0.3"/>
  <cols>
    <col min="1" max="1" width="100" customWidth="1"/>
  </cols>
  <sheetData>
    <row r="1" spans="1:1" ht="18" customHeight="1" x14ac:dyDescent="0.35">
      <c r="A1" s="6" t="s">
        <v>82</v>
      </c>
    </row>
    <row r="3" spans="1:1" x14ac:dyDescent="0.3">
      <c r="A3" t="s">
        <v>83</v>
      </c>
    </row>
    <row r="4" spans="1:1" x14ac:dyDescent="0.3">
      <c r="A4" t="s">
        <v>84</v>
      </c>
    </row>
    <row r="5" spans="1:1" x14ac:dyDescent="0.3">
      <c r="A5" t="s">
        <v>85</v>
      </c>
    </row>
    <row r="7" spans="1:1" ht="15.6" customHeight="1" x14ac:dyDescent="0.3">
      <c r="A7" s="7" t="s">
        <v>86</v>
      </c>
    </row>
    <row r="8" spans="1:1" x14ac:dyDescent="0.3">
      <c r="A8" t="s">
        <v>87</v>
      </c>
    </row>
    <row r="9" spans="1:1" x14ac:dyDescent="0.3">
      <c r="A9" s="8" t="s">
        <v>88</v>
      </c>
    </row>
    <row r="10" spans="1:1" x14ac:dyDescent="0.3">
      <c r="A10" s="8" t="s">
        <v>89</v>
      </c>
    </row>
    <row r="11" spans="1:1" x14ac:dyDescent="0.3">
      <c r="A11" s="8" t="s">
        <v>90</v>
      </c>
    </row>
    <row r="12" spans="1:1" x14ac:dyDescent="0.3">
      <c r="A12" s="8" t="s">
        <v>91</v>
      </c>
    </row>
    <row r="13" spans="1:1" x14ac:dyDescent="0.3">
      <c r="A13" s="8" t="s">
        <v>92</v>
      </c>
    </row>
    <row r="15" spans="1:1" x14ac:dyDescent="0.3">
      <c r="A15" t="s">
        <v>93</v>
      </c>
    </row>
    <row r="16" spans="1:1" x14ac:dyDescent="0.3">
      <c r="A16" s="8" t="s">
        <v>94</v>
      </c>
    </row>
    <row r="17" spans="1:1" x14ac:dyDescent="0.3">
      <c r="A17" s="8" t="s">
        <v>95</v>
      </c>
    </row>
    <row r="18" spans="1:1" x14ac:dyDescent="0.3">
      <c r="A18" s="8" t="s">
        <v>96</v>
      </c>
    </row>
    <row r="19" spans="1:1" x14ac:dyDescent="0.3">
      <c r="A19" s="8" t="s">
        <v>97</v>
      </c>
    </row>
    <row r="20" spans="1:1" x14ac:dyDescent="0.3">
      <c r="A20" s="8" t="s">
        <v>98</v>
      </c>
    </row>
    <row r="21" spans="1:1" x14ac:dyDescent="0.3">
      <c r="A21" s="8" t="s">
        <v>99</v>
      </c>
    </row>
    <row r="22" spans="1:1" x14ac:dyDescent="0.3">
      <c r="A22" s="8" t="s">
        <v>100</v>
      </c>
    </row>
    <row r="23" spans="1:1" x14ac:dyDescent="0.3">
      <c r="A23" s="8" t="s">
        <v>101</v>
      </c>
    </row>
    <row r="24" spans="1:1" x14ac:dyDescent="0.3">
      <c r="A24" s="8" t="s">
        <v>102</v>
      </c>
    </row>
    <row r="26" spans="1:1" x14ac:dyDescent="0.3">
      <c r="A26" t="s">
        <v>103</v>
      </c>
    </row>
    <row r="27" spans="1:1" x14ac:dyDescent="0.3">
      <c r="A27" s="9" t="s">
        <v>104</v>
      </c>
    </row>
    <row r="28" spans="1:1" x14ac:dyDescent="0.3">
      <c r="A28" s="8" t="s">
        <v>105</v>
      </c>
    </row>
    <row r="29" spans="1:1" x14ac:dyDescent="0.3">
      <c r="A29" s="8" t="s">
        <v>106</v>
      </c>
    </row>
    <row r="30" spans="1:1" x14ac:dyDescent="0.3">
      <c r="A30" s="8" t="s">
        <v>107</v>
      </c>
    </row>
    <row r="31" spans="1:1" x14ac:dyDescent="0.3">
      <c r="A31" s="8" t="s">
        <v>108</v>
      </c>
    </row>
    <row r="32" spans="1:1" x14ac:dyDescent="0.3">
      <c r="A32" s="8" t="s">
        <v>109</v>
      </c>
    </row>
    <row r="33" spans="1:1" x14ac:dyDescent="0.3">
      <c r="A33" s="8" t="s">
        <v>110</v>
      </c>
    </row>
    <row r="34" spans="1:1" x14ac:dyDescent="0.3">
      <c r="A34" s="8" t="s">
        <v>111</v>
      </c>
    </row>
    <row r="35" spans="1:1" x14ac:dyDescent="0.3">
      <c r="A35" s="8" t="s">
        <v>112</v>
      </c>
    </row>
    <row r="37" spans="1:1" x14ac:dyDescent="0.3">
      <c r="A37" s="9" t="s">
        <v>113</v>
      </c>
    </row>
    <row r="38" spans="1:1" x14ac:dyDescent="0.3">
      <c r="A38" s="8" t="s">
        <v>114</v>
      </c>
    </row>
    <row r="39" spans="1:1" x14ac:dyDescent="0.3">
      <c r="A39" s="8" t="s">
        <v>115</v>
      </c>
    </row>
    <row r="40" spans="1:1" x14ac:dyDescent="0.3">
      <c r="A40" s="8" t="s">
        <v>116</v>
      </c>
    </row>
    <row r="41" spans="1:1" x14ac:dyDescent="0.3">
      <c r="A41" s="8" t="s">
        <v>117</v>
      </c>
    </row>
    <row r="42" spans="1:1" x14ac:dyDescent="0.3">
      <c r="A42" s="8" t="s">
        <v>118</v>
      </c>
    </row>
    <row r="44" spans="1:1" ht="15.6" customHeight="1" x14ac:dyDescent="0.3">
      <c r="A44" s="7" t="s">
        <v>119</v>
      </c>
    </row>
    <row r="45" spans="1:1" x14ac:dyDescent="0.3">
      <c r="A45" t="s">
        <v>120</v>
      </c>
    </row>
    <row r="46" spans="1:1" x14ac:dyDescent="0.3">
      <c r="A46" s="8" t="s">
        <v>121</v>
      </c>
    </row>
    <row r="47" spans="1:1" x14ac:dyDescent="0.3">
      <c r="A47" s="8" t="s">
        <v>122</v>
      </c>
    </row>
    <row r="48" spans="1:1" x14ac:dyDescent="0.3">
      <c r="A48" s="8" t="s">
        <v>123</v>
      </c>
    </row>
    <row r="49" spans="1:1" x14ac:dyDescent="0.3">
      <c r="A49" s="8" t="s">
        <v>124</v>
      </c>
    </row>
    <row r="50" spans="1:1" x14ac:dyDescent="0.3">
      <c r="A50" s="8" t="s">
        <v>125</v>
      </c>
    </row>
    <row r="52" spans="1:1" x14ac:dyDescent="0.3">
      <c r="A52" t="s">
        <v>126</v>
      </c>
    </row>
    <row r="53" spans="1:1" x14ac:dyDescent="0.3">
      <c r="A53" s="8" t="s">
        <v>127</v>
      </c>
    </row>
    <row r="54" spans="1:1" x14ac:dyDescent="0.3">
      <c r="A54" s="8" t="s">
        <v>128</v>
      </c>
    </row>
    <row r="55" spans="1:1" x14ac:dyDescent="0.3">
      <c r="A55" s="8" t="s">
        <v>129</v>
      </c>
    </row>
    <row r="57" spans="1:1" ht="15.6" customHeight="1" x14ac:dyDescent="0.3">
      <c r="A57" s="7" t="s">
        <v>130</v>
      </c>
    </row>
    <row r="58" spans="1:1" x14ac:dyDescent="0.3">
      <c r="A58" t="s">
        <v>131</v>
      </c>
    </row>
    <row r="59" spans="1:1" x14ac:dyDescent="0.3">
      <c r="A59" t="s">
        <v>132</v>
      </c>
    </row>
    <row r="60" spans="1:1" x14ac:dyDescent="0.3">
      <c r="A60" t="s">
        <v>133</v>
      </c>
    </row>
    <row r="61" spans="1:1" x14ac:dyDescent="0.3">
      <c r="A61" t="s">
        <v>134</v>
      </c>
    </row>
    <row r="62" spans="1:1" x14ac:dyDescent="0.3">
      <c r="A62" t="s">
        <v>135</v>
      </c>
    </row>
    <row r="64" spans="1:1" ht="15.6" customHeight="1" x14ac:dyDescent="0.3">
      <c r="A64" s="7" t="s">
        <v>136</v>
      </c>
    </row>
    <row r="65" spans="1:1" x14ac:dyDescent="0.3">
      <c r="A65" s="8" t="s">
        <v>137</v>
      </c>
    </row>
    <row r="66" spans="1:1" x14ac:dyDescent="0.3">
      <c r="A66" s="8" t="s">
        <v>138</v>
      </c>
    </row>
    <row r="67" spans="1:1" x14ac:dyDescent="0.3">
      <c r="A67" s="8" t="s">
        <v>139</v>
      </c>
    </row>
    <row r="68" spans="1:1" x14ac:dyDescent="0.3">
      <c r="A68" s="8" t="s">
        <v>140</v>
      </c>
    </row>
    <row r="69" spans="1:1" x14ac:dyDescent="0.3">
      <c r="A69" s="8" t="s">
        <v>141</v>
      </c>
    </row>
    <row r="71" spans="1:1" ht="15.6" customHeight="1" x14ac:dyDescent="0.3">
      <c r="A71" s="7" t="s">
        <v>142</v>
      </c>
    </row>
    <row r="72" spans="1:1" x14ac:dyDescent="0.3">
      <c r="A72" t="s">
        <v>143</v>
      </c>
    </row>
    <row r="73" spans="1:1" x14ac:dyDescent="0.3">
      <c r="A73" s="8" t="s">
        <v>144</v>
      </c>
    </row>
    <row r="74" spans="1:1" x14ac:dyDescent="0.3">
      <c r="A74" s="8" t="s">
        <v>145</v>
      </c>
    </row>
    <row r="75" spans="1:1" x14ac:dyDescent="0.3">
      <c r="A75" s="8" t="s">
        <v>146</v>
      </c>
    </row>
    <row r="77" spans="1:1" ht="15.6" customHeight="1" x14ac:dyDescent="0.3">
      <c r="A77" s="7" t="s">
        <v>147</v>
      </c>
    </row>
    <row r="78" spans="1:1" x14ac:dyDescent="0.3">
      <c r="A78" t="s">
        <v>148</v>
      </c>
    </row>
    <row r="79" spans="1:1" x14ac:dyDescent="0.3">
      <c r="A79" t="b">
        <v>0</v>
      </c>
    </row>
    <row r="80" spans="1:1" x14ac:dyDescent="0.3">
      <c r="A80" t="b">
        <v>0</v>
      </c>
    </row>
    <row r="82" spans="1:1" ht="15.6" customHeight="1" x14ac:dyDescent="0.3">
      <c r="A82" s="7" t="s">
        <v>149</v>
      </c>
    </row>
    <row r="83" spans="1:1" x14ac:dyDescent="0.3">
      <c r="A83" t="s">
        <v>150</v>
      </c>
    </row>
    <row r="84" spans="1:1" x14ac:dyDescent="0.3">
      <c r="A84" t="s">
        <v>151</v>
      </c>
    </row>
    <row r="85" spans="1:1" x14ac:dyDescent="0.3">
      <c r="A85" t="s">
        <v>152</v>
      </c>
    </row>
    <row r="86" spans="1:1" x14ac:dyDescent="0.3">
      <c r="A86" t="s">
        <v>153</v>
      </c>
    </row>
    <row r="87" spans="1:1" x14ac:dyDescent="0.3">
      <c r="A87" t="s">
        <v>154</v>
      </c>
    </row>
    <row r="88" spans="1:1" x14ac:dyDescent="0.3">
      <c r="A88" t="s">
        <v>155</v>
      </c>
    </row>
    <row r="89" spans="1:1" x14ac:dyDescent="0.3">
      <c r="A89" t="s">
        <v>156</v>
      </c>
    </row>
    <row r="91" spans="1:1" ht="15.6" customHeight="1" x14ac:dyDescent="0.3">
      <c r="A91" s="7" t="s">
        <v>157</v>
      </c>
    </row>
    <row r="92" spans="1:1" x14ac:dyDescent="0.3">
      <c r="A92" s="8" t="s">
        <v>158</v>
      </c>
    </row>
    <row r="93" spans="1:1" x14ac:dyDescent="0.3">
      <c r="A93" s="8" t="s">
        <v>159</v>
      </c>
    </row>
    <row r="94" spans="1:1" x14ac:dyDescent="0.3">
      <c r="A94" s="8" t="s">
        <v>160</v>
      </c>
    </row>
    <row r="95" spans="1:1" x14ac:dyDescent="0.3">
      <c r="A95" s="8" t="s">
        <v>161</v>
      </c>
    </row>
    <row r="96" spans="1:1" x14ac:dyDescent="0.3">
      <c r="A96" s="8" t="s">
        <v>162</v>
      </c>
    </row>
    <row r="98" spans="1:1" ht="15.6" customHeight="1" x14ac:dyDescent="0.3">
      <c r="A98" s="7" t="s">
        <v>163</v>
      </c>
    </row>
    <row r="99" spans="1:1" x14ac:dyDescent="0.3">
      <c r="A99" t="s">
        <v>164</v>
      </c>
    </row>
    <row r="100" spans="1:1" x14ac:dyDescent="0.3">
      <c r="A100" s="8" t="s">
        <v>165</v>
      </c>
    </row>
    <row r="101" spans="1:1" x14ac:dyDescent="0.3">
      <c r="A101" s="8" t="s">
        <v>166</v>
      </c>
    </row>
    <row r="102" spans="1:1" x14ac:dyDescent="0.3">
      <c r="A102" s="8" t="s">
        <v>167</v>
      </c>
    </row>
    <row r="104" spans="1:1" ht="15.6" customHeight="1" x14ac:dyDescent="0.3">
      <c r="A104" s="7" t="s">
        <v>168</v>
      </c>
    </row>
    <row r="105" spans="1:1" x14ac:dyDescent="0.3">
      <c r="A105" t="s">
        <v>169</v>
      </c>
    </row>
    <row r="106" spans="1:1" x14ac:dyDescent="0.3">
      <c r="A106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Hierarchical_View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Dubravka Pavic-Sladoljev</cp:lastModifiedBy>
  <dcterms:created xsi:type="dcterms:W3CDTF">2025-11-24T11:34:41Z</dcterms:created>
  <dcterms:modified xsi:type="dcterms:W3CDTF">2025-11-24T11:54:53Z</dcterms:modified>
</cp:coreProperties>
</file>